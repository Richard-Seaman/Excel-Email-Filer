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150" windowWidth="26835" windowHeight="12555" activeTab="1"/>
  </bookViews>
  <sheets>
    <sheet name="INFO" sheetId="6" r:id="rId1"/>
    <sheet name="Dashboard" sheetId="4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C7" i="6" l="1"/>
</calcChain>
</file>

<file path=xl/sharedStrings.xml><?xml version="1.0" encoding="utf-8"?>
<sst xmlns="http://schemas.openxmlformats.org/spreadsheetml/2006/main" count="59" uniqueCount="48">
  <si>
    <t>File unread mail</t>
  </si>
  <si>
    <t>Don’t file email that is less than</t>
  </si>
  <si>
    <t>weeks old</t>
  </si>
  <si>
    <t>Newforma - Items to File</t>
  </si>
  <si>
    <t>Y</t>
  </si>
  <si>
    <t>enter "Y" to include</t>
  </si>
  <si>
    <t>Instructions:</t>
  </si>
  <si>
    <t xml:space="preserve">enter "Y" or "N" </t>
  </si>
  <si>
    <t>N</t>
  </si>
  <si>
    <t>richard.seaman@bdp.com</t>
  </si>
  <si>
    <t>Use whatever appears in your Outlook</t>
  </si>
  <si>
    <t>"Mailbox - Seaman, Richard"</t>
  </si>
  <si>
    <t>Mailbox Folder Name</t>
  </si>
  <si>
    <t>Newforma Folder Name</t>
  </si>
  <si>
    <t>Example Mailbox Folder Name:</t>
  </si>
  <si>
    <t>"Newforma - Items to File"</t>
  </si>
  <si>
    <t>This should be the same for everybody</t>
  </si>
  <si>
    <t>This refers to the main (or parent) Newforma folder, so:</t>
  </si>
  <si>
    <t>Step 1:</t>
  </si>
  <si>
    <t>Step 2:</t>
  </si>
  <si>
    <t>Step 3:</t>
  </si>
  <si>
    <t>Use the Add Job button to add a worksheet for each job you're working on</t>
  </si>
  <si>
    <t>Review the job's rules on each of the job worksheets</t>
  </si>
  <si>
    <t>The workbook allows you to file email from your Inbox and Sent items to Newforma (and optionally to your own Outlook folder too)</t>
  </si>
  <si>
    <t>Fill in the information to the left</t>
  </si>
  <si>
    <t>File Inbox emails</t>
  </si>
  <si>
    <t>File Sent emails</t>
  </si>
  <si>
    <t>This refers to the name of your main mailbox, so:</t>
  </si>
  <si>
    <t>refer to example on right</t>
  </si>
  <si>
    <t xml:space="preserve">DO NOT EDIT OR MOVE THIS SHEET </t>
  </si>
  <si>
    <t>Current Version:</t>
  </si>
  <si>
    <t>Latest Version:</t>
  </si>
  <si>
    <t>Index Path:</t>
  </si>
  <si>
    <t>Press the File Emails button</t>
  </si>
  <si>
    <t>end</t>
  </si>
  <si>
    <t>Location of updater</t>
  </si>
  <si>
    <t>Use the button below to check if this is the latest version of the Email Filer:</t>
  </si>
  <si>
    <t>K:\M&amp;E\Calculations\APPLICATIONS\Update email filer.xlsm</t>
  </si>
  <si>
    <t>Note, sometimes this is your email address, so it may be:</t>
  </si>
  <si>
    <t>K:\M&amp;E\Calculations\APPLICATIONS\Email Filer Index.xlsm</t>
  </si>
  <si>
    <t>Example Newforma Folder Name:</t>
  </si>
  <si>
    <r>
      <rPr>
        <sz val="10"/>
        <color rgb="FFFF0000"/>
        <rFont val="Arial"/>
        <family val="2"/>
      </rPr>
      <t>Remember</t>
    </r>
    <r>
      <rPr>
        <sz val="10"/>
        <rFont val="Arial"/>
        <family val="2"/>
      </rPr>
      <t xml:space="preserve"> to check they are correctly filed and adjust rules as appropriate after filing</t>
    </r>
  </si>
  <si>
    <t>Index Path (Arch):</t>
  </si>
  <si>
    <t>K:\M&amp;E\Calculations\APPLICATIONS\Email Filer Index (Arch).xlsm</t>
  </si>
  <si>
    <t>Mailbox - Seaman, Richard</t>
  </si>
  <si>
    <t>File emails with a Category</t>
  </si>
  <si>
    <t>File flagged emails</t>
  </si>
  <si>
    <t>Use the button below to only restore your Newforma emails from the vault: (no filing)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</si>
</sst>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u/>
      <sz val="10"/>
      <color theme="10"/>
      <name val="Arial"/>
      <family val="2"/>
    </font>
    <font>
      <b/>
      <sz val="16"/>
      <color rgb="FFFF0000"/>
      <name val="Arial"/>
      <family val="2"/>
    </font>
    <font>
      <b/>
      <sz val="12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2" fillId="0" borderId="0"/>
  </cellStyleXfs>
  <cellXfs count="23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Fill="1" applyBorder="1"/>
    <xf numFmtId="0" fontId="3" fillId="0" borderId="1" xfId="0" applyFont="1" applyFill="1" applyBorder="1" applyAlignment="1">
      <alignment horizontal="center"/>
    </xf>
    <xf numFmtId="0" fontId="4" fillId="0" borderId="0" xfId="0" applyFont="1"/>
    <xf numFmtId="0" fontId="3" fillId="0" borderId="2" xfId="0" applyFont="1" applyBorder="1"/>
    <xf numFmtId="0" fontId="6" fillId="0" borderId="1" xfId="1" applyBorder="1"/>
    <xf numFmtId="0" fontId="3" fillId="0" borderId="1" xfId="0" applyFont="1" applyBorder="1" applyAlignment="1">
      <alignment horizontal="center" vertical="center"/>
    </xf>
    <xf numFmtId="0" fontId="5" fillId="0" borderId="0" xfId="0" applyFont="1"/>
    <xf numFmtId="0" fontId="0" fillId="2" borderId="0" xfId="0" applyFill="1"/>
    <xf numFmtId="0" fontId="0" fillId="0" borderId="0" xfId="0" applyFill="1"/>
    <xf numFmtId="0" fontId="7" fillId="0" borderId="0" xfId="0" applyFont="1" applyFill="1"/>
    <xf numFmtId="0" fontId="3" fillId="2" borderId="0" xfId="0" applyFont="1" applyFill="1"/>
    <xf numFmtId="0" fontId="0" fillId="2" borderId="0" xfId="0" applyFill="1" applyAlignment="1">
      <alignment horizontal="left"/>
    </xf>
    <xf numFmtId="0" fontId="2" fillId="0" borderId="0" xfId="0" applyFont="1"/>
    <xf numFmtId="0" fontId="8" fillId="0" borderId="0" xfId="0" applyFont="1"/>
    <xf numFmtId="0" fontId="2" fillId="2" borderId="0" xfId="0" applyFont="1" applyFill="1"/>
    <xf numFmtId="0" fontId="6" fillId="0" borderId="0" xfId="1"/>
    <xf numFmtId="0" fontId="11" fillId="0" borderId="0" xfId="0" applyFont="1"/>
    <xf numFmtId="0" fontId="12" fillId="0" borderId="0" xfId="0" applyFont="1"/>
    <xf numFmtId="0" fontId="2" fillId="0" borderId="0" xfId="0" applyFont="1" applyFill="1" applyBorder="1"/>
    <xf numFmtId="0" fontId="2" fillId="0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11">
    <dxf>
      <font>
        <color auto="1"/>
      </font>
      <fill>
        <patternFill>
          <bgColor theme="7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85725</xdr:rowOff>
        </xdr:from>
        <xdr:to>
          <xdr:col>2</xdr:col>
          <xdr:colOff>47625</xdr:colOff>
          <xdr:row>32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File Emails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266700</xdr:colOff>
      <xdr:row>22</xdr:row>
      <xdr:rowOff>66675</xdr:rowOff>
    </xdr:from>
    <xdr:to>
      <xdr:col>11</xdr:col>
      <xdr:colOff>28300</xdr:colOff>
      <xdr:row>28</xdr:row>
      <xdr:rowOff>190363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6625" y="914400"/>
          <a:ext cx="2200000" cy="1095238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304800</xdr:colOff>
      <xdr:row>22</xdr:row>
      <xdr:rowOff>104775</xdr:rowOff>
    </xdr:from>
    <xdr:to>
      <xdr:col>17</xdr:col>
      <xdr:colOff>609333</xdr:colOff>
      <xdr:row>39</xdr:row>
      <xdr:rowOff>142521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91925" y="3581400"/>
          <a:ext cx="2133333" cy="2828571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16</xdr:row>
          <xdr:rowOff>57150</xdr:rowOff>
        </xdr:from>
        <xdr:to>
          <xdr:col>2</xdr:col>
          <xdr:colOff>9525</xdr:colOff>
          <xdr:row>19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M&amp;E Jobs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41</xdr:row>
          <xdr:rowOff>66675</xdr:rowOff>
        </xdr:from>
        <xdr:to>
          <xdr:col>2</xdr:col>
          <xdr:colOff>66675</xdr:colOff>
          <xdr:row>43</xdr:row>
          <xdr:rowOff>104775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For 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847724</xdr:colOff>
      <xdr:row>19</xdr:row>
      <xdr:rowOff>123825</xdr:rowOff>
    </xdr:from>
    <xdr:to>
      <xdr:col>2</xdr:col>
      <xdr:colOff>1476375</xdr:colOff>
      <xdr:row>22</xdr:row>
      <xdr:rowOff>114300</xdr:rowOff>
    </xdr:to>
    <xdr:sp macro="" textlink="">
      <xdr:nvSpPr>
        <xdr:cNvPr id="5" name="TextBox 4"/>
        <xdr:cNvSpPr txBox="1"/>
      </xdr:nvSpPr>
      <xdr:spPr>
        <a:xfrm>
          <a:off x="1457324" y="3362325"/>
          <a:ext cx="2657476" cy="476250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If your job doesn't show</a:t>
          </a:r>
          <a:r>
            <a:rPr lang="en-GB" sz="1100" baseline="0"/>
            <a:t> up in the list, use the button below to add it to the index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52</xdr:row>
          <xdr:rowOff>152400</xdr:rowOff>
        </xdr:from>
        <xdr:to>
          <xdr:col>1</xdr:col>
          <xdr:colOff>2009775</xdr:colOff>
          <xdr:row>55</xdr:row>
          <xdr:rowOff>114300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Cover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16</xdr:row>
          <xdr:rowOff>57150</xdr:rowOff>
        </xdr:from>
        <xdr:to>
          <xdr:col>3</xdr:col>
          <xdr:colOff>381000</xdr:colOff>
          <xdr:row>19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Arch Jobs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23</xdr:row>
          <xdr:rowOff>76200</xdr:rowOff>
        </xdr:from>
        <xdr:to>
          <xdr:col>2</xdr:col>
          <xdr:colOff>9525</xdr:colOff>
          <xdr:row>26</xdr:row>
          <xdr:rowOff>19050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Up M&amp;E Jobs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37</xdr:row>
          <xdr:rowOff>57150</xdr:rowOff>
        </xdr:from>
        <xdr:to>
          <xdr:col>2</xdr:col>
          <xdr:colOff>57150</xdr:colOff>
          <xdr:row>39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Restore Emails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23</xdr:row>
          <xdr:rowOff>76200</xdr:rowOff>
        </xdr:from>
        <xdr:to>
          <xdr:col>3</xdr:col>
          <xdr:colOff>381000</xdr:colOff>
          <xdr:row>26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Up Arch Jobs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542925</xdr:colOff>
      <xdr:row>0</xdr:row>
      <xdr:rowOff>104775</xdr:rowOff>
    </xdr:from>
    <xdr:to>
      <xdr:col>19</xdr:col>
      <xdr:colOff>66675</xdr:colOff>
      <xdr:row>44</xdr:row>
      <xdr:rowOff>76200</xdr:rowOff>
    </xdr:to>
    <xdr:sp macro="" textlink="">
      <xdr:nvSpPr>
        <xdr:cNvPr id="13" name="Progress" hidden="1"/>
        <xdr:cNvSpPr/>
      </xdr:nvSpPr>
      <xdr:spPr>
        <a:xfrm>
          <a:off x="542925" y="104775"/>
          <a:ext cx="13858875" cy="7286625"/>
        </a:xfrm>
        <a:prstGeom prst="rect">
          <a:avLst/>
        </a:prstGeom>
        <a:solidFill>
          <a:schemeClr val="accent1">
            <a:lumMod val="75000"/>
          </a:schemeClr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Finished restoring from Vault</a:t>
          </a:r>
        </a:p>
        <a:p>
          <a:pPr algn="ctr"/>
          <a:endParaRPr lang="en-GB" sz="2400" u="non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24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 emails were restored.</a:t>
          </a:r>
        </a:p>
      </xdr:txBody>
    </xdr:sp>
    <xdr:clientData/>
  </xdr:twoCellAnchor>
  <xdr:twoCellAnchor>
    <xdr:from>
      <xdr:col>0</xdr:col>
      <xdr:colOff>542925</xdr:colOff>
      <xdr:row>0</xdr:row>
      <xdr:rowOff>104775</xdr:rowOff>
    </xdr:from>
    <xdr:to>
      <xdr:col>19</xdr:col>
      <xdr:colOff>66675</xdr:colOff>
      <xdr:row>44</xdr:row>
      <xdr:rowOff>76200</xdr:rowOff>
    </xdr:to>
    <xdr:sp macro="[0]!hideSummary" textlink="">
      <xdr:nvSpPr>
        <xdr:cNvPr id="14" name="Summary" hidden="1"/>
        <xdr:cNvSpPr/>
      </xdr:nvSpPr>
      <xdr:spPr>
        <a:xfrm>
          <a:off x="542925" y="104775"/>
          <a:ext cx="13858875" cy="7286625"/>
        </a:xfrm>
        <a:prstGeom prst="rect">
          <a:avLst/>
        </a:prstGeom>
        <a:solidFill>
          <a:srgbClr val="00B05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Finished</a:t>
          </a:r>
        </a:p>
        <a:p>
          <a:pPr algn="ctr"/>
          <a:endParaRPr lang="en-GB" sz="2400" u="non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24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emails were filed.</a:t>
          </a:r>
        </a:p>
        <a:p>
          <a:pPr algn="ctr"/>
          <a:r>
            <a:rPr lang="en-GB" sz="24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Make sure you check them to ensure they're in the right folders.</a:t>
          </a:r>
        </a:p>
        <a:p>
          <a:pPr algn="ctr"/>
          <a:endParaRPr lang="en-GB" sz="2400" u="non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24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(Click to dismiss)</a:t>
          </a:r>
        </a:p>
      </xdr:txBody>
    </xdr:sp>
    <xdr:clientData/>
  </xdr:twoCellAnchor>
  <xdr:twoCellAnchor>
    <xdr:from>
      <xdr:col>0</xdr:col>
      <xdr:colOff>542925</xdr:colOff>
      <xdr:row>0</xdr:row>
      <xdr:rowOff>104775</xdr:rowOff>
    </xdr:from>
    <xdr:to>
      <xdr:col>19</xdr:col>
      <xdr:colOff>66675</xdr:colOff>
      <xdr:row>44</xdr:row>
      <xdr:rowOff>76200</xdr:rowOff>
    </xdr:to>
    <xdr:sp macro="[0]!hideCover" textlink="">
      <xdr:nvSpPr>
        <xdr:cNvPr id="6" name="CoverSHape"/>
        <xdr:cNvSpPr/>
      </xdr:nvSpPr>
      <xdr:spPr>
        <a:xfrm>
          <a:off x="542925" y="104775"/>
          <a:ext cx="13858875" cy="7286625"/>
        </a:xfrm>
        <a:prstGeom prst="rect">
          <a:avLst/>
        </a:prstGeom>
        <a:solidFill>
          <a:srgbClr val="FF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BEFORE YOU BEGIN</a:t>
          </a:r>
        </a:p>
        <a:p>
          <a:pPr algn="ctr"/>
          <a:endParaRPr lang="en-GB" sz="2400">
            <a:effectLst/>
          </a:endParaRPr>
        </a:p>
        <a:p>
          <a:pPr algn="ctr"/>
          <a:r>
            <a:rPr lang="en-GB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MAKE</a:t>
          </a:r>
          <a:r>
            <a:rPr lang="en-GB" sz="2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SURE YOU HAVE SAVED THIS TO YOUR HOME DRIVE</a:t>
          </a:r>
          <a:endParaRPr lang="en-GB" sz="2400">
            <a:effectLst/>
          </a:endParaRPr>
        </a:p>
        <a:p>
          <a:pPr algn="ctr"/>
          <a:r>
            <a:rPr lang="en-GB" sz="2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NOT OVERWIRTE THE ORIGINAL</a:t>
          </a:r>
        </a:p>
        <a:p>
          <a:pPr algn="ctr"/>
          <a:endParaRPr lang="en-GB" sz="2400">
            <a:effectLst/>
          </a:endParaRPr>
        </a:p>
        <a:p>
          <a:pPr algn="ctr"/>
          <a:r>
            <a:rPr lang="en-GB" sz="2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this box AFTER you have "saved as"</a:t>
          </a:r>
          <a:endParaRPr lang="en-GB" sz="2400">
            <a:effectLst/>
          </a:endParaRPr>
        </a:p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ail%20Filer%20Inde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Dashboard"/>
      <sheetName val="P5000XXX"/>
    </sheetNames>
    <sheetDataSet>
      <sheetData sheetId="0">
        <row r="2">
          <cell r="C2">
            <v>3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mailto:richard.seaman@bdp.com" TargetMode="External"/><Relationship Id="rId1" Type="http://schemas.openxmlformats.org/officeDocument/2006/relationships/hyperlink" Target="mailto:chris.croly@bdp.co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9"/>
  <sheetViews>
    <sheetView showGridLines="0" workbookViewId="0">
      <selection activeCell="C7" sqref="C7"/>
    </sheetView>
  </sheetViews>
  <sheetFormatPr defaultRowHeight="12.75" x14ac:dyDescent="0.2"/>
  <cols>
    <col min="1" max="1" width="9.140625" style="10"/>
    <col min="2" max="2" width="17.5703125" style="10" bestFit="1" customWidth="1"/>
    <col min="3" max="3" width="65.28515625" style="10" bestFit="1" customWidth="1"/>
    <col min="4" max="16384" width="9.140625" style="10"/>
  </cols>
  <sheetData>
    <row r="2" spans="2:3" s="11" customFormat="1" ht="20.25" x14ac:dyDescent="0.3">
      <c r="B2" s="12" t="s">
        <v>29</v>
      </c>
    </row>
    <row r="4" spans="2:3" x14ac:dyDescent="0.2">
      <c r="B4" s="13" t="s">
        <v>32</v>
      </c>
      <c r="C4" s="17" t="s">
        <v>39</v>
      </c>
    </row>
    <row r="5" spans="2:3" x14ac:dyDescent="0.2">
      <c r="B5" s="17" t="s">
        <v>42</v>
      </c>
      <c r="C5" s="17" t="s">
        <v>43</v>
      </c>
    </row>
    <row r="6" spans="2:3" x14ac:dyDescent="0.2">
      <c r="B6" s="13" t="s">
        <v>30</v>
      </c>
      <c r="C6" s="14">
        <v>3</v>
      </c>
    </row>
    <row r="7" spans="2:3" x14ac:dyDescent="0.2">
      <c r="B7" s="13" t="s">
        <v>31</v>
      </c>
      <c r="C7" s="14">
        <f>[1]INFO!$C$2</f>
        <v>3</v>
      </c>
    </row>
    <row r="9" spans="2:3" x14ac:dyDescent="0.2">
      <c r="B9" s="10" t="s">
        <v>35</v>
      </c>
      <c r="C9" s="17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95"/>
  <sheetViews>
    <sheetView showGridLines="0" tabSelected="1" workbookViewId="0"/>
  </sheetViews>
  <sheetFormatPr defaultRowHeight="12.75" x14ac:dyDescent="0.2"/>
  <cols>
    <col min="2" max="2" width="30.42578125" customWidth="1"/>
    <col min="3" max="3" width="29.140625" customWidth="1"/>
  </cols>
  <sheetData>
    <row r="1" spans="1:8" x14ac:dyDescent="0.2">
      <c r="A1" s="15"/>
    </row>
    <row r="2" spans="1:8" ht="16.5" thickBot="1" x14ac:dyDescent="0.3">
      <c r="B2" s="16" t="s">
        <v>18</v>
      </c>
      <c r="H2" s="16" t="s">
        <v>6</v>
      </c>
    </row>
    <row r="3" spans="1:8" ht="13.5" thickBot="1" x14ac:dyDescent="0.25">
      <c r="B3" t="s">
        <v>0</v>
      </c>
      <c r="C3" s="4" t="s">
        <v>8</v>
      </c>
      <c r="D3" s="2" t="s">
        <v>7</v>
      </c>
    </row>
    <row r="4" spans="1:8" ht="13.5" thickBot="1" x14ac:dyDescent="0.25">
      <c r="B4" t="s">
        <v>1</v>
      </c>
      <c r="C4" s="8">
        <v>0</v>
      </c>
      <c r="D4" t="s">
        <v>2</v>
      </c>
      <c r="H4" s="2" t="s">
        <v>23</v>
      </c>
    </row>
    <row r="5" spans="1:8" ht="13.5" thickBot="1" x14ac:dyDescent="0.25">
      <c r="B5" s="2" t="s">
        <v>12</v>
      </c>
      <c r="C5" s="7" t="s">
        <v>44</v>
      </c>
      <c r="D5" s="2" t="s">
        <v>28</v>
      </c>
    </row>
    <row r="6" spans="1:8" ht="13.5" thickBot="1" x14ac:dyDescent="0.25">
      <c r="B6" s="3" t="s">
        <v>13</v>
      </c>
      <c r="C6" s="6" t="s">
        <v>3</v>
      </c>
      <c r="D6" s="2" t="s">
        <v>28</v>
      </c>
      <c r="H6" s="5" t="s">
        <v>18</v>
      </c>
    </row>
    <row r="7" spans="1:8" ht="13.5" thickBot="1" x14ac:dyDescent="0.25">
      <c r="B7" s="15"/>
      <c r="H7" s="2" t="s">
        <v>24</v>
      </c>
    </row>
    <row r="8" spans="1:8" ht="13.5" thickBot="1" x14ac:dyDescent="0.25">
      <c r="B8" s="2" t="s">
        <v>25</v>
      </c>
      <c r="C8" s="4" t="s">
        <v>4</v>
      </c>
      <c r="D8" t="s">
        <v>5</v>
      </c>
    </row>
    <row r="9" spans="1:8" ht="13.5" thickBot="1" x14ac:dyDescent="0.25">
      <c r="B9" s="3" t="s">
        <v>26</v>
      </c>
      <c r="C9" s="4" t="s">
        <v>4</v>
      </c>
      <c r="D9" t="s">
        <v>5</v>
      </c>
      <c r="H9" s="5" t="s">
        <v>19</v>
      </c>
    </row>
    <row r="10" spans="1:8" ht="13.5" thickBot="1" x14ac:dyDescent="0.25">
      <c r="B10" s="21" t="s">
        <v>45</v>
      </c>
      <c r="C10" s="22" t="s">
        <v>8</v>
      </c>
      <c r="D10" s="2" t="s">
        <v>7</v>
      </c>
      <c r="H10" s="2" t="s">
        <v>21</v>
      </c>
    </row>
    <row r="11" spans="1:8" ht="13.5" thickBot="1" x14ac:dyDescent="0.25">
      <c r="B11" s="21" t="s">
        <v>46</v>
      </c>
      <c r="C11" s="22" t="s">
        <v>8</v>
      </c>
      <c r="D11" s="2" t="s">
        <v>7</v>
      </c>
      <c r="H11" s="2" t="s">
        <v>22</v>
      </c>
    </row>
    <row r="13" spans="1:8" x14ac:dyDescent="0.2">
      <c r="H13" s="5" t="s">
        <v>20</v>
      </c>
    </row>
    <row r="14" spans="1:8" x14ac:dyDescent="0.2">
      <c r="H14" s="2" t="s">
        <v>33</v>
      </c>
    </row>
    <row r="15" spans="1:8" ht="15.75" x14ac:dyDescent="0.25">
      <c r="B15" s="16" t="s">
        <v>19</v>
      </c>
    </row>
    <row r="17" spans="2:15" x14ac:dyDescent="0.2">
      <c r="B17" s="1"/>
    </row>
    <row r="18" spans="2:15" x14ac:dyDescent="0.2">
      <c r="B18" s="18"/>
      <c r="H18" s="1" t="s">
        <v>14</v>
      </c>
      <c r="O18" s="1" t="s">
        <v>40</v>
      </c>
    </row>
    <row r="20" spans="2:15" x14ac:dyDescent="0.2">
      <c r="H20" s="2" t="s">
        <v>27</v>
      </c>
      <c r="O20" s="2" t="s">
        <v>17</v>
      </c>
    </row>
    <row r="22" spans="2:15" x14ac:dyDescent="0.2">
      <c r="H22" s="9" t="s">
        <v>11</v>
      </c>
      <c r="O22" s="9" t="s">
        <v>15</v>
      </c>
    </row>
    <row r="23" spans="2:15" x14ac:dyDescent="0.2">
      <c r="C23" s="15"/>
    </row>
    <row r="29" spans="2:15" ht="15.75" x14ac:dyDescent="0.25">
      <c r="B29" s="16" t="s">
        <v>20</v>
      </c>
    </row>
    <row r="31" spans="2:15" x14ac:dyDescent="0.2">
      <c r="H31" s="19" t="s">
        <v>38</v>
      </c>
    </row>
    <row r="32" spans="2:15" x14ac:dyDescent="0.2">
      <c r="H32" s="20" t="s">
        <v>9</v>
      </c>
    </row>
    <row r="34" spans="2:15" x14ac:dyDescent="0.2">
      <c r="H34" s="1" t="s">
        <v>10</v>
      </c>
    </row>
    <row r="35" spans="2:15" x14ac:dyDescent="0.2">
      <c r="B35" s="15" t="s">
        <v>41</v>
      </c>
    </row>
    <row r="37" spans="2:15" x14ac:dyDescent="0.2">
      <c r="B37" s="15" t="s">
        <v>47</v>
      </c>
    </row>
    <row r="41" spans="2:15" x14ac:dyDescent="0.2">
      <c r="B41" s="15" t="s">
        <v>36</v>
      </c>
    </row>
    <row r="42" spans="2:15" x14ac:dyDescent="0.2">
      <c r="O42" s="2" t="s">
        <v>16</v>
      </c>
    </row>
    <row r="44" spans="2:15" x14ac:dyDescent="0.2">
      <c r="O44" s="1" t="s">
        <v>10</v>
      </c>
    </row>
    <row r="60" spans="2:3" x14ac:dyDescent="0.2">
      <c r="B60" s="2"/>
      <c r="C60" s="2"/>
    </row>
    <row r="95" spans="24:24" x14ac:dyDescent="0.2">
      <c r="X95" t="s">
        <v>34</v>
      </c>
    </row>
  </sheetData>
  <conditionalFormatting sqref="C8:C9">
    <cfRule type="cellIs" dxfId="10" priority="15" stopIfTrue="1" operator="equal">
      <formula>"y"</formula>
    </cfRule>
    <cfRule type="cellIs" dxfId="9" priority="16" stopIfTrue="1" operator="notEqual">
      <formula>"Y"</formula>
    </cfRule>
  </conditionalFormatting>
  <conditionalFormatting sqref="C3">
    <cfRule type="cellIs" dxfId="8" priority="10" stopIfTrue="1" operator="equal">
      <formula>"y"</formula>
    </cfRule>
    <cfRule type="cellIs" dxfId="7" priority="11" stopIfTrue="1" operator="equal">
      <formula>"N"</formula>
    </cfRule>
  </conditionalFormatting>
  <conditionalFormatting sqref="C4">
    <cfRule type="cellIs" dxfId="6" priority="5" stopIfTrue="1" operator="lessThan">
      <formula>0</formula>
    </cfRule>
    <cfRule type="expression" dxfId="5" priority="6" stopIfTrue="1">
      <formula>IF(ISNUMBER(C4),FASLE,TRUE)</formula>
    </cfRule>
    <cfRule type="expression" dxfId="4" priority="7" stopIfTrue="1">
      <formula>IF(ISNUMBER(C4),IF(C4&gt;=0,TRUE,FALSE),FALSE)</formula>
    </cfRule>
  </conditionalFormatting>
  <conditionalFormatting sqref="C10">
    <cfRule type="cellIs" dxfId="3" priority="3" stopIfTrue="1" operator="equal">
      <formula>"N"</formula>
    </cfRule>
    <cfRule type="cellIs" dxfId="2" priority="4" stopIfTrue="1" operator="notEqual">
      <formula>"N"</formula>
    </cfRule>
  </conditionalFormatting>
  <conditionalFormatting sqref="C11">
    <cfRule type="cellIs" dxfId="1" priority="1" stopIfTrue="1" operator="equal">
      <formula>"N"</formula>
    </cfRule>
    <cfRule type="cellIs" dxfId="0" priority="2" stopIfTrue="1" operator="notEqual">
      <formula>"N"</formula>
    </cfRule>
  </conditionalFormatting>
  <hyperlinks>
    <hyperlink ref="C5" r:id="rId1" display="chris.croly@bdp.com"/>
    <hyperlink ref="H32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fileEmails">
                <anchor moveWithCells="1" sizeWithCells="1">
                  <from>
                    <xdr:col>1</xdr:col>
                    <xdr:colOff>0</xdr:colOff>
                    <xdr:row>29</xdr:row>
                    <xdr:rowOff>85725</xdr:rowOff>
                  </from>
                  <to>
                    <xdr:col>2</xdr:col>
                    <xdr:colOff>47625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addJobsEng">
                <anchor moveWithCells="1" sizeWithCells="1">
                  <from>
                    <xdr:col>0</xdr:col>
                    <xdr:colOff>600075</xdr:colOff>
                    <xdr:row>16</xdr:row>
                    <xdr:rowOff>57150</xdr:rowOff>
                  </from>
                  <to>
                    <xdr:col>2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checkForUpdate">
                <anchor moveWithCells="1" sizeWithCells="1">
                  <from>
                    <xdr:col>1</xdr:col>
                    <xdr:colOff>9525</xdr:colOff>
                    <xdr:row>41</xdr:row>
                    <xdr:rowOff>66675</xdr:rowOff>
                  </from>
                  <to>
                    <xdr:col>2</xdr:col>
                    <xdr:colOff>66675</xdr:colOff>
                    <xdr:row>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showCover">
                <anchor moveWithCells="1" sizeWithCells="1">
                  <from>
                    <xdr:col>1</xdr:col>
                    <xdr:colOff>9525</xdr:colOff>
                    <xdr:row>52</xdr:row>
                    <xdr:rowOff>152400</xdr:rowOff>
                  </from>
                  <to>
                    <xdr:col>1</xdr:col>
                    <xdr:colOff>2009775</xdr:colOff>
                    <xdr:row>55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ddJobsArch">
                <anchor moveWithCells="1" sizeWithCells="1">
                  <from>
                    <xdr:col>2</xdr:col>
                    <xdr:colOff>276225</xdr:colOff>
                    <xdr:row>16</xdr:row>
                    <xdr:rowOff>57150</xdr:rowOff>
                  </from>
                  <to>
                    <xdr:col>3</xdr:col>
                    <xdr:colOff>381000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setupJobsEng">
                <anchor moveWithCells="1" sizeWithCells="1">
                  <from>
                    <xdr:col>0</xdr:col>
                    <xdr:colOff>600075</xdr:colOff>
                    <xdr:row>23</xdr:row>
                    <xdr:rowOff>76200</xdr:rowOff>
                  </from>
                  <to>
                    <xdr:col>2</xdr:col>
                    <xdr:colOff>9525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Button 28">
              <controlPr defaultSize="0" print="0" autoFill="0" autoPict="0" macro="[0]!setupJobsArch">
                <anchor moveWithCells="1" sizeWithCells="1">
                  <from>
                    <xdr:col>2</xdr:col>
                    <xdr:colOff>276225</xdr:colOff>
                    <xdr:row>23</xdr:row>
                    <xdr:rowOff>76200</xdr:rowOff>
                  </from>
                  <to>
                    <xdr:col>3</xdr:col>
                    <xdr:colOff>381000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3" name="Button 30">
              <controlPr defaultSize="0" print="0" autoFill="0" autoPict="0" macro="[0]!restoreEmailsInNewformaFolders">
                <anchor moveWithCells="1" sizeWithCells="1">
                  <from>
                    <xdr:col>1</xdr:col>
                    <xdr:colOff>0</xdr:colOff>
                    <xdr:row>37</xdr:row>
                    <xdr:rowOff>57150</xdr:rowOff>
                  </from>
                  <to>
                    <xdr:col>2</xdr:col>
                    <xdr:colOff>57150</xdr:colOff>
                    <xdr:row>39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Dashboard</vt:lpstr>
    </vt:vector>
  </TitlesOfParts>
  <Company>BDP Holdings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Kiki and Muffin</dc:creator>
  <cp:lastModifiedBy>Rich</cp:lastModifiedBy>
  <dcterms:created xsi:type="dcterms:W3CDTF">2016-04-14T17:14:26Z</dcterms:created>
  <dcterms:modified xsi:type="dcterms:W3CDTF">2016-06-13T19:35:42Z</dcterms:modified>
</cp:coreProperties>
</file>